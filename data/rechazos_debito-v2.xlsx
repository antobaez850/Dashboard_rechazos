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hazos" sheetId="1" r:id="rId5"/>
  </sheets>
  <definedNames/>
  <calcPr/>
</workbook>
</file>

<file path=xl/sharedStrings.xml><?xml version="1.0" encoding="utf-8"?>
<sst xmlns="http://schemas.openxmlformats.org/spreadsheetml/2006/main" count="259" uniqueCount="47">
  <si>
    <t>Año-Mes</t>
  </si>
  <si>
    <t>Comercio</t>
  </si>
  <si>
    <t>Rubro</t>
  </si>
  <si>
    <t>Motivo Rechazo</t>
  </si>
  <si>
    <t>Categoría Motivo</t>
  </si>
  <si>
    <t>Recuperable</t>
  </si>
  <si>
    <t>Canal</t>
  </si>
  <si>
    <t>Banco Emisor</t>
  </si>
  <si>
    <t>Tipo Cuenta</t>
  </si>
  <si>
    <t>N° Intento</t>
  </si>
  <si>
    <t>Cant. Usuarios</t>
  </si>
  <si>
    <t>Cant. Rechazos</t>
  </si>
  <si>
    <t>Trans. Total</t>
  </si>
  <si>
    <t>Monto Total ($)</t>
  </si>
  <si>
    <t>Costo Rechazo ($)</t>
  </si>
  <si>
    <t>Trans. Aprobadas</t>
  </si>
  <si>
    <t>% Aprobación</t>
  </si>
  <si>
    <t>% Rechazo</t>
  </si>
  <si>
    <t>Costo Prom. x Rechazo ($)</t>
  </si>
  <si>
    <t>2025-01</t>
  </si>
  <si>
    <t>Telecom SA</t>
  </si>
  <si>
    <t>Telecomunicaciones</t>
  </si>
  <si>
    <t>Falta de fondos</t>
  </si>
  <si>
    <t>Fondos</t>
  </si>
  <si>
    <t>Sí</t>
  </si>
  <si>
    <t>Débito directo</t>
  </si>
  <si>
    <t>Banco Nación</t>
  </si>
  <si>
    <t>Caja de ahorro</t>
  </si>
  <si>
    <t>Cuenta inexistente</t>
  </si>
  <si>
    <t>Cuenta</t>
  </si>
  <si>
    <t>No</t>
  </si>
  <si>
    <t>Santander</t>
  </si>
  <si>
    <t>Gas del Sur</t>
  </si>
  <si>
    <t>Gas</t>
  </si>
  <si>
    <t>Home banking</t>
  </si>
  <si>
    <t>Banco Provincia</t>
  </si>
  <si>
    <t>Cuenta corriente</t>
  </si>
  <si>
    <t>Experta ART</t>
  </si>
  <si>
    <t>ART</t>
  </si>
  <si>
    <t>Cuenta bloqueada</t>
  </si>
  <si>
    <t>BBVA</t>
  </si>
  <si>
    <t>2025-02</t>
  </si>
  <si>
    <t>App móvil</t>
  </si>
  <si>
    <t>Límite excedido</t>
  </si>
  <si>
    <t>Banco Galicia</t>
  </si>
  <si>
    <t>2025-03</t>
  </si>
  <si>
    <t>Claro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</si>
</sst>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-mm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EF2F7"/>
        <bgColor rgb="FFEEF2F7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horizontal="right" shrinkToFit="0" vertical="center" wrapText="0"/>
    </xf>
    <xf borderId="1" fillId="3" fontId="2" numFmtId="4" xfId="0" applyAlignment="1" applyBorder="1" applyFont="1" applyNumberFormat="1">
      <alignment horizontal="right" shrinkToFit="0" vertical="center" wrapText="0"/>
    </xf>
    <xf borderId="1" fillId="3" fontId="2" numFmtId="3" xfId="0" applyAlignment="1" applyBorder="1" applyFont="1" applyNumberFormat="1">
      <alignment horizontal="right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2" numFmtId="0" xfId="0" applyAlignment="1" applyBorder="1" applyFont="1">
      <alignment horizontal="right" shrinkToFit="0" vertical="center" wrapText="0"/>
    </xf>
    <xf borderId="1" fillId="4" fontId="2" numFmtId="4" xfId="0" applyAlignment="1" applyBorder="1" applyFont="1" applyNumberFormat="1">
      <alignment horizontal="right" shrinkToFit="0" vertical="center" wrapText="0"/>
    </xf>
    <xf borderId="1" fillId="4" fontId="2" numFmtId="3" xfId="0" applyAlignment="1" applyBorder="1" applyFont="1" applyNumberFormat="1">
      <alignment horizontal="right" shrinkToFit="0" vertical="center" wrapText="0"/>
    </xf>
    <xf borderId="1" fillId="4" fontId="2" numFmtId="164" xfId="0" applyAlignment="1" applyBorder="1" applyFont="1" applyNumberFormat="1">
      <alignment horizontal="center" shrinkToFit="0" vertical="center" wrapText="0"/>
    </xf>
    <xf borderId="1" fillId="3" fontId="2" numFmtId="165" xfId="0" applyAlignment="1" applyBorder="1" applyFont="1" applyNumberFormat="1">
      <alignment horizontal="center" readingOrder="0" shrinkToFit="0" vertical="center" wrapText="0"/>
    </xf>
    <xf borderId="1" fillId="3" fontId="2" numFmtId="0" xfId="0" applyAlignment="1" applyBorder="1" applyFont="1">
      <alignment horizontal="right" readingOrder="0" shrinkToFit="0" vertical="center" wrapText="0"/>
    </xf>
    <xf borderId="1" fillId="3" fontId="2" numFmtId="4" xfId="0" applyAlignment="1" applyBorder="1" applyFont="1" applyNumberFormat="1">
      <alignment horizontal="right" readingOrder="0" shrinkToFit="0" vertical="center" wrapText="0"/>
    </xf>
    <xf borderId="1" fillId="4" fontId="2" numFmtId="165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right" readingOrder="0" shrinkToFit="0" vertical="center" wrapText="0"/>
    </xf>
    <xf borderId="1" fillId="4" fontId="2" numFmtId="4" xfId="0" applyAlignment="1" applyBorder="1" applyFont="1" applyNumberForma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8.0"/>
    <col customWidth="1" min="4" max="4" width="20.0"/>
    <col customWidth="1" min="5" max="5" width="16.0"/>
    <col customWidth="1" min="6" max="6" width="11.0"/>
    <col customWidth="1" min="7" max="7" width="16.0"/>
    <col customWidth="1" min="8" max="8" width="17.0"/>
    <col customWidth="1" min="9" max="9" width="16.0"/>
    <col customWidth="1" min="10" max="10" width="10.0"/>
    <col customWidth="1" min="11" max="13" width="13.0"/>
    <col customWidth="1" min="14" max="14" width="16.0"/>
    <col customWidth="1" min="15" max="15" width="17.0"/>
    <col customWidth="1" min="16" max="16" width="16.0"/>
    <col customWidth="1" min="17" max="17" width="13.0"/>
    <col customWidth="1" min="18" max="18" width="11.0"/>
    <col customWidth="1" min="19" max="19" width="20.0"/>
    <col customWidth="1" min="20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8.0" customHeight="1">
      <c r="A2" s="2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2" t="s">
        <v>24</v>
      </c>
      <c r="G2" s="3" t="s">
        <v>25</v>
      </c>
      <c r="H2" s="3" t="s">
        <v>26</v>
      </c>
      <c r="I2" s="2" t="s">
        <v>27</v>
      </c>
      <c r="J2" s="2">
        <v>1.0</v>
      </c>
      <c r="K2" s="4">
        <v>320.0</v>
      </c>
      <c r="L2" s="4">
        <v>48.0</v>
      </c>
      <c r="M2" s="4">
        <v>410.0</v>
      </c>
      <c r="N2" s="5">
        <v>123000.0</v>
      </c>
      <c r="O2" s="5">
        <v>5760.0</v>
      </c>
      <c r="P2" s="6">
        <f t="shared" ref="P2:P29" si="1">M2-L2</f>
        <v>362</v>
      </c>
      <c r="Q2" s="7">
        <f t="shared" ref="Q2:Q29" si="2">IFERROR((M2-L2)/M2,0)</f>
        <v>0.8829268293</v>
      </c>
      <c r="R2" s="7">
        <f t="shared" ref="R2:R29" si="3">IFERROR(L2/M2,0)</f>
        <v>0.1170731707</v>
      </c>
      <c r="S2" s="5">
        <f t="shared" ref="S2:S29" si="4">IFERROR(O2/L2,0)</f>
        <v>120</v>
      </c>
    </row>
    <row r="3" ht="18.0" customHeight="1">
      <c r="A3" s="8" t="s">
        <v>19</v>
      </c>
      <c r="B3" s="9" t="s">
        <v>20</v>
      </c>
      <c r="C3" s="9" t="s">
        <v>21</v>
      </c>
      <c r="D3" s="9" t="s">
        <v>28</v>
      </c>
      <c r="E3" s="9" t="s">
        <v>29</v>
      </c>
      <c r="F3" s="8" t="s">
        <v>30</v>
      </c>
      <c r="G3" s="9" t="s">
        <v>25</v>
      </c>
      <c r="H3" s="9" t="s">
        <v>31</v>
      </c>
      <c r="I3" s="8" t="s">
        <v>27</v>
      </c>
      <c r="J3" s="8">
        <v>1.0</v>
      </c>
      <c r="K3" s="10">
        <v>15.0</v>
      </c>
      <c r="L3" s="10">
        <v>15.0</v>
      </c>
      <c r="M3" s="10">
        <v>15.0</v>
      </c>
      <c r="N3" s="11">
        <v>4500.0</v>
      </c>
      <c r="O3" s="11">
        <v>1800.0</v>
      </c>
      <c r="P3" s="12">
        <f t="shared" si="1"/>
        <v>0</v>
      </c>
      <c r="Q3" s="13">
        <f t="shared" si="2"/>
        <v>0</v>
      </c>
      <c r="R3" s="13">
        <f t="shared" si="3"/>
        <v>1</v>
      </c>
      <c r="S3" s="11">
        <f t="shared" si="4"/>
        <v>120</v>
      </c>
    </row>
    <row r="4" ht="18.0" customHeight="1">
      <c r="A4" s="2" t="s">
        <v>19</v>
      </c>
      <c r="B4" s="3" t="s">
        <v>32</v>
      </c>
      <c r="C4" s="3" t="s">
        <v>33</v>
      </c>
      <c r="D4" s="3" t="s">
        <v>22</v>
      </c>
      <c r="E4" s="3" t="s">
        <v>23</v>
      </c>
      <c r="F4" s="2" t="s">
        <v>24</v>
      </c>
      <c r="G4" s="3" t="s">
        <v>34</v>
      </c>
      <c r="H4" s="3" t="s">
        <v>35</v>
      </c>
      <c r="I4" s="2" t="s">
        <v>27</v>
      </c>
      <c r="J4" s="2">
        <v>1.0</v>
      </c>
      <c r="K4" s="4">
        <v>210.0</v>
      </c>
      <c r="L4" s="4">
        <v>31.0</v>
      </c>
      <c r="M4" s="4">
        <v>275.0</v>
      </c>
      <c r="N4" s="5">
        <v>82500.0</v>
      </c>
      <c r="O4" s="5">
        <v>3720.0</v>
      </c>
      <c r="P4" s="6">
        <f t="shared" si="1"/>
        <v>244</v>
      </c>
      <c r="Q4" s="7">
        <f t="shared" si="2"/>
        <v>0.8872727273</v>
      </c>
      <c r="R4" s="7">
        <f t="shared" si="3"/>
        <v>0.1127272727</v>
      </c>
      <c r="S4" s="5">
        <f t="shared" si="4"/>
        <v>120</v>
      </c>
    </row>
    <row r="5" ht="18.0" customHeight="1">
      <c r="A5" s="8" t="s">
        <v>19</v>
      </c>
      <c r="B5" s="9" t="s">
        <v>32</v>
      </c>
      <c r="C5" s="9" t="s">
        <v>33</v>
      </c>
      <c r="D5" s="9" t="s">
        <v>22</v>
      </c>
      <c r="E5" s="9" t="s">
        <v>23</v>
      </c>
      <c r="F5" s="8" t="s">
        <v>24</v>
      </c>
      <c r="G5" s="9" t="s">
        <v>34</v>
      </c>
      <c r="H5" s="9" t="s">
        <v>26</v>
      </c>
      <c r="I5" s="8" t="s">
        <v>36</v>
      </c>
      <c r="J5" s="8">
        <v>2.0</v>
      </c>
      <c r="K5" s="10">
        <v>80.0</v>
      </c>
      <c r="L5" s="10">
        <v>20.0</v>
      </c>
      <c r="M5" s="10">
        <v>80.0</v>
      </c>
      <c r="N5" s="11">
        <v>24000.0</v>
      </c>
      <c r="O5" s="11">
        <v>2400.0</v>
      </c>
      <c r="P5" s="12">
        <f t="shared" si="1"/>
        <v>60</v>
      </c>
      <c r="Q5" s="13">
        <f t="shared" si="2"/>
        <v>0.75</v>
      </c>
      <c r="R5" s="13">
        <f t="shared" si="3"/>
        <v>0.25</v>
      </c>
      <c r="S5" s="11">
        <f t="shared" si="4"/>
        <v>120</v>
      </c>
    </row>
    <row r="6" ht="18.0" customHeight="1">
      <c r="A6" s="2" t="s">
        <v>19</v>
      </c>
      <c r="B6" s="3" t="s">
        <v>37</v>
      </c>
      <c r="C6" s="3" t="s">
        <v>38</v>
      </c>
      <c r="D6" s="3" t="s">
        <v>39</v>
      </c>
      <c r="E6" s="3" t="s">
        <v>29</v>
      </c>
      <c r="F6" s="2" t="s">
        <v>30</v>
      </c>
      <c r="G6" s="3" t="s">
        <v>25</v>
      </c>
      <c r="H6" s="3" t="s">
        <v>40</v>
      </c>
      <c r="I6" s="2" t="s">
        <v>27</v>
      </c>
      <c r="J6" s="2">
        <v>1.0</v>
      </c>
      <c r="K6" s="4">
        <v>55.0</v>
      </c>
      <c r="L6" s="4">
        <v>8.0</v>
      </c>
      <c r="M6" s="4">
        <v>90.0</v>
      </c>
      <c r="N6" s="5">
        <v>27000.0</v>
      </c>
      <c r="O6" s="5">
        <v>960.0</v>
      </c>
      <c r="P6" s="6">
        <f t="shared" si="1"/>
        <v>82</v>
      </c>
      <c r="Q6" s="7">
        <f t="shared" si="2"/>
        <v>0.9111111111</v>
      </c>
      <c r="R6" s="7">
        <f t="shared" si="3"/>
        <v>0.08888888889</v>
      </c>
      <c r="S6" s="5">
        <f t="shared" si="4"/>
        <v>120</v>
      </c>
    </row>
    <row r="7" ht="18.0" customHeight="1">
      <c r="A7" s="8" t="s">
        <v>41</v>
      </c>
      <c r="B7" s="9" t="s">
        <v>20</v>
      </c>
      <c r="C7" s="9" t="s">
        <v>21</v>
      </c>
      <c r="D7" s="9" t="s">
        <v>22</v>
      </c>
      <c r="E7" s="9" t="s">
        <v>23</v>
      </c>
      <c r="F7" s="8" t="s">
        <v>24</v>
      </c>
      <c r="G7" s="9" t="s">
        <v>25</v>
      </c>
      <c r="H7" s="9" t="s">
        <v>26</v>
      </c>
      <c r="I7" s="8" t="s">
        <v>27</v>
      </c>
      <c r="J7" s="8">
        <v>1.0</v>
      </c>
      <c r="K7" s="10">
        <v>335.0</v>
      </c>
      <c r="L7" s="10">
        <v>61.0</v>
      </c>
      <c r="M7" s="10">
        <v>430.0</v>
      </c>
      <c r="N7" s="11">
        <v>129000.0</v>
      </c>
      <c r="O7" s="11">
        <v>7320.0</v>
      </c>
      <c r="P7" s="12">
        <f t="shared" si="1"/>
        <v>369</v>
      </c>
      <c r="Q7" s="13">
        <f t="shared" si="2"/>
        <v>0.8581395349</v>
      </c>
      <c r="R7" s="13">
        <f t="shared" si="3"/>
        <v>0.1418604651</v>
      </c>
      <c r="S7" s="11">
        <f t="shared" si="4"/>
        <v>120</v>
      </c>
    </row>
    <row r="8" ht="18.0" customHeight="1">
      <c r="A8" s="2" t="s">
        <v>41</v>
      </c>
      <c r="B8" s="3" t="s">
        <v>20</v>
      </c>
      <c r="C8" s="3" t="s">
        <v>21</v>
      </c>
      <c r="D8" s="3" t="s">
        <v>22</v>
      </c>
      <c r="E8" s="3" t="s">
        <v>23</v>
      </c>
      <c r="F8" s="2" t="s">
        <v>24</v>
      </c>
      <c r="G8" s="3" t="s">
        <v>42</v>
      </c>
      <c r="H8" s="3" t="s">
        <v>31</v>
      </c>
      <c r="I8" s="2" t="s">
        <v>27</v>
      </c>
      <c r="J8" s="2">
        <v>1.0</v>
      </c>
      <c r="K8" s="4">
        <v>120.0</v>
      </c>
      <c r="L8" s="4">
        <v>22.0</v>
      </c>
      <c r="M8" s="4">
        <v>155.0</v>
      </c>
      <c r="N8" s="5">
        <v>46500.0</v>
      </c>
      <c r="O8" s="5">
        <v>2640.0</v>
      </c>
      <c r="P8" s="6">
        <f t="shared" si="1"/>
        <v>133</v>
      </c>
      <c r="Q8" s="7">
        <f t="shared" si="2"/>
        <v>0.8580645161</v>
      </c>
      <c r="R8" s="7">
        <f t="shared" si="3"/>
        <v>0.1419354839</v>
      </c>
      <c r="S8" s="5">
        <f t="shared" si="4"/>
        <v>120</v>
      </c>
    </row>
    <row r="9" ht="18.0" customHeight="1">
      <c r="A9" s="8" t="s">
        <v>41</v>
      </c>
      <c r="B9" s="9" t="s">
        <v>32</v>
      </c>
      <c r="C9" s="9" t="s">
        <v>33</v>
      </c>
      <c r="D9" s="9" t="s">
        <v>43</v>
      </c>
      <c r="E9" s="9" t="s">
        <v>23</v>
      </c>
      <c r="F9" s="8" t="s">
        <v>24</v>
      </c>
      <c r="G9" s="9" t="s">
        <v>34</v>
      </c>
      <c r="H9" s="9" t="s">
        <v>44</v>
      </c>
      <c r="I9" s="8" t="s">
        <v>36</v>
      </c>
      <c r="J9" s="8">
        <v>1.0</v>
      </c>
      <c r="K9" s="10">
        <v>40.0</v>
      </c>
      <c r="L9" s="10">
        <v>9.0</v>
      </c>
      <c r="M9" s="10">
        <v>60.0</v>
      </c>
      <c r="N9" s="11">
        <v>18000.0</v>
      </c>
      <c r="O9" s="11">
        <v>1080.0</v>
      </c>
      <c r="P9" s="12">
        <f t="shared" si="1"/>
        <v>51</v>
      </c>
      <c r="Q9" s="13">
        <f t="shared" si="2"/>
        <v>0.85</v>
      </c>
      <c r="R9" s="13">
        <f t="shared" si="3"/>
        <v>0.15</v>
      </c>
      <c r="S9" s="11">
        <f t="shared" si="4"/>
        <v>120</v>
      </c>
    </row>
    <row r="10" ht="18.0" customHeight="1">
      <c r="A10" s="2" t="s">
        <v>41</v>
      </c>
      <c r="B10" s="3" t="s">
        <v>37</v>
      </c>
      <c r="C10" s="3" t="s">
        <v>38</v>
      </c>
      <c r="D10" s="3" t="s">
        <v>22</v>
      </c>
      <c r="E10" s="3" t="s">
        <v>23</v>
      </c>
      <c r="F10" s="2" t="s">
        <v>24</v>
      </c>
      <c r="G10" s="3" t="s">
        <v>25</v>
      </c>
      <c r="H10" s="3" t="s">
        <v>26</v>
      </c>
      <c r="I10" s="2" t="s">
        <v>27</v>
      </c>
      <c r="J10" s="2">
        <v>1.0</v>
      </c>
      <c r="K10" s="4">
        <v>180.0</v>
      </c>
      <c r="L10" s="4">
        <v>27.0</v>
      </c>
      <c r="M10" s="4">
        <v>240.0</v>
      </c>
      <c r="N10" s="5">
        <v>72000.0</v>
      </c>
      <c r="O10" s="5">
        <v>3240.0</v>
      </c>
      <c r="P10" s="6">
        <f t="shared" si="1"/>
        <v>213</v>
      </c>
      <c r="Q10" s="7">
        <f t="shared" si="2"/>
        <v>0.8875</v>
      </c>
      <c r="R10" s="7">
        <f t="shared" si="3"/>
        <v>0.1125</v>
      </c>
      <c r="S10" s="5">
        <f t="shared" si="4"/>
        <v>120</v>
      </c>
    </row>
    <row r="11" ht="18.0" customHeight="1">
      <c r="A11" s="8" t="s">
        <v>41</v>
      </c>
      <c r="B11" s="9" t="s">
        <v>37</v>
      </c>
      <c r="C11" s="9" t="s">
        <v>38</v>
      </c>
      <c r="D11" s="9" t="s">
        <v>39</v>
      </c>
      <c r="E11" s="9" t="s">
        <v>29</v>
      </c>
      <c r="F11" s="8" t="s">
        <v>30</v>
      </c>
      <c r="G11" s="9" t="s">
        <v>25</v>
      </c>
      <c r="H11" s="9" t="s">
        <v>40</v>
      </c>
      <c r="I11" s="8" t="s">
        <v>36</v>
      </c>
      <c r="J11" s="8">
        <v>2.0</v>
      </c>
      <c r="K11" s="10">
        <v>25.0</v>
      </c>
      <c r="L11" s="10">
        <v>10.0</v>
      </c>
      <c r="M11" s="10">
        <v>25.0</v>
      </c>
      <c r="N11" s="11">
        <v>7500.0</v>
      </c>
      <c r="O11" s="11">
        <v>1200.0</v>
      </c>
      <c r="P11" s="12">
        <f t="shared" si="1"/>
        <v>15</v>
      </c>
      <c r="Q11" s="13">
        <f t="shared" si="2"/>
        <v>0.6</v>
      </c>
      <c r="R11" s="13">
        <f t="shared" si="3"/>
        <v>0.4</v>
      </c>
      <c r="S11" s="11">
        <f t="shared" si="4"/>
        <v>120</v>
      </c>
    </row>
    <row r="12" ht="18.0" customHeight="1">
      <c r="A12" s="2" t="s">
        <v>45</v>
      </c>
      <c r="B12" s="3" t="s">
        <v>20</v>
      </c>
      <c r="C12" s="3" t="s">
        <v>21</v>
      </c>
      <c r="D12" s="3" t="s">
        <v>22</v>
      </c>
      <c r="E12" s="3" t="s">
        <v>23</v>
      </c>
      <c r="F12" s="2" t="s">
        <v>24</v>
      </c>
      <c r="G12" s="3" t="s">
        <v>42</v>
      </c>
      <c r="H12" s="3" t="s">
        <v>31</v>
      </c>
      <c r="I12" s="2" t="s">
        <v>27</v>
      </c>
      <c r="J12" s="2">
        <v>1.0</v>
      </c>
      <c r="K12" s="4">
        <v>290.0</v>
      </c>
      <c r="L12" s="4">
        <v>44.0</v>
      </c>
      <c r="M12" s="4">
        <v>395.0</v>
      </c>
      <c r="N12" s="5">
        <v>118500.0</v>
      </c>
      <c r="O12" s="5">
        <v>5280.0</v>
      </c>
      <c r="P12" s="6">
        <f t="shared" si="1"/>
        <v>351</v>
      </c>
      <c r="Q12" s="7">
        <f t="shared" si="2"/>
        <v>0.8886075949</v>
      </c>
      <c r="R12" s="7">
        <f t="shared" si="3"/>
        <v>0.1113924051</v>
      </c>
      <c r="S12" s="5">
        <f t="shared" si="4"/>
        <v>120</v>
      </c>
    </row>
    <row r="13" ht="18.0" customHeight="1">
      <c r="A13" s="8" t="s">
        <v>45</v>
      </c>
      <c r="B13" s="9" t="s">
        <v>32</v>
      </c>
      <c r="C13" s="9" t="s">
        <v>33</v>
      </c>
      <c r="D13" s="9" t="s">
        <v>22</v>
      </c>
      <c r="E13" s="9" t="s">
        <v>23</v>
      </c>
      <c r="F13" s="8" t="s">
        <v>24</v>
      </c>
      <c r="G13" s="9" t="s">
        <v>34</v>
      </c>
      <c r="H13" s="9" t="s">
        <v>35</v>
      </c>
      <c r="I13" s="8" t="s">
        <v>27</v>
      </c>
      <c r="J13" s="8">
        <v>1.0</v>
      </c>
      <c r="K13" s="10">
        <v>195.0</v>
      </c>
      <c r="L13" s="10">
        <v>28.0</v>
      </c>
      <c r="M13" s="10">
        <v>260.0</v>
      </c>
      <c r="N13" s="11">
        <v>78000.0</v>
      </c>
      <c r="O13" s="11">
        <v>3360.0</v>
      </c>
      <c r="P13" s="12">
        <f t="shared" si="1"/>
        <v>232</v>
      </c>
      <c r="Q13" s="13">
        <f t="shared" si="2"/>
        <v>0.8923076923</v>
      </c>
      <c r="R13" s="13">
        <f t="shared" si="3"/>
        <v>0.1076923077</v>
      </c>
      <c r="S13" s="11">
        <f t="shared" si="4"/>
        <v>120</v>
      </c>
    </row>
    <row r="14" ht="18.0" customHeight="1">
      <c r="A14" s="2" t="s">
        <v>45</v>
      </c>
      <c r="B14" s="3" t="s">
        <v>32</v>
      </c>
      <c r="C14" s="3" t="s">
        <v>33</v>
      </c>
      <c r="D14" s="3" t="s">
        <v>28</v>
      </c>
      <c r="E14" s="3" t="s">
        <v>29</v>
      </c>
      <c r="F14" s="2" t="s">
        <v>30</v>
      </c>
      <c r="G14" s="3" t="s">
        <v>25</v>
      </c>
      <c r="H14" s="3" t="s">
        <v>26</v>
      </c>
      <c r="I14" s="2" t="s">
        <v>27</v>
      </c>
      <c r="J14" s="2">
        <v>1.0</v>
      </c>
      <c r="K14" s="4">
        <v>12.0</v>
      </c>
      <c r="L14" s="4">
        <v>12.0</v>
      </c>
      <c r="M14" s="4">
        <v>12.0</v>
      </c>
      <c r="N14" s="5">
        <v>3600.0</v>
      </c>
      <c r="O14" s="5">
        <v>1440.0</v>
      </c>
      <c r="P14" s="6">
        <f t="shared" si="1"/>
        <v>0</v>
      </c>
      <c r="Q14" s="7">
        <f t="shared" si="2"/>
        <v>0</v>
      </c>
      <c r="R14" s="7">
        <f t="shared" si="3"/>
        <v>1</v>
      </c>
      <c r="S14" s="5">
        <f t="shared" si="4"/>
        <v>120</v>
      </c>
    </row>
    <row r="15" ht="18.0" customHeight="1">
      <c r="A15" s="8" t="s">
        <v>45</v>
      </c>
      <c r="B15" s="9" t="s">
        <v>37</v>
      </c>
      <c r="C15" s="9" t="s">
        <v>38</v>
      </c>
      <c r="D15" s="9" t="s">
        <v>22</v>
      </c>
      <c r="E15" s="9" t="s">
        <v>23</v>
      </c>
      <c r="F15" s="8" t="s">
        <v>24</v>
      </c>
      <c r="G15" s="9" t="s">
        <v>25</v>
      </c>
      <c r="H15" s="9" t="s">
        <v>44</v>
      </c>
      <c r="I15" s="8" t="s">
        <v>27</v>
      </c>
      <c r="J15" s="8">
        <v>1.0</v>
      </c>
      <c r="K15" s="10">
        <v>165.0</v>
      </c>
      <c r="L15" s="10">
        <v>24.0</v>
      </c>
      <c r="M15" s="10">
        <v>220.0</v>
      </c>
      <c r="N15" s="11">
        <v>66000.0</v>
      </c>
      <c r="O15" s="11">
        <v>2880.0</v>
      </c>
      <c r="P15" s="12">
        <f t="shared" si="1"/>
        <v>196</v>
      </c>
      <c r="Q15" s="13">
        <f t="shared" si="2"/>
        <v>0.8909090909</v>
      </c>
      <c r="R15" s="13">
        <f t="shared" si="3"/>
        <v>0.1090909091</v>
      </c>
      <c r="S15" s="11">
        <f t="shared" si="4"/>
        <v>120</v>
      </c>
    </row>
    <row r="16" ht="18.0" customHeight="1">
      <c r="A16" s="2" t="s">
        <v>45</v>
      </c>
      <c r="B16" s="3" t="s">
        <v>46</v>
      </c>
      <c r="C16" s="3" t="s">
        <v>21</v>
      </c>
      <c r="D16" s="3" t="s">
        <v>22</v>
      </c>
      <c r="E16" s="3" t="s">
        <v>23</v>
      </c>
      <c r="F16" s="2" t="s">
        <v>24</v>
      </c>
      <c r="G16" s="3" t="s">
        <v>25</v>
      </c>
      <c r="H16" s="3" t="s">
        <v>26</v>
      </c>
      <c r="I16" s="2" t="s">
        <v>27</v>
      </c>
      <c r="J16" s="2">
        <v>1.0</v>
      </c>
      <c r="K16" s="4">
        <v>400.0</v>
      </c>
      <c r="L16" s="4">
        <v>70.0</v>
      </c>
      <c r="M16" s="4">
        <v>510.0</v>
      </c>
      <c r="N16" s="5">
        <v>153000.0</v>
      </c>
      <c r="O16" s="5">
        <v>8400.0</v>
      </c>
      <c r="P16" s="6">
        <f t="shared" si="1"/>
        <v>440</v>
      </c>
      <c r="Q16" s="7">
        <f t="shared" si="2"/>
        <v>0.862745098</v>
      </c>
      <c r="R16" s="7">
        <f t="shared" si="3"/>
        <v>0.137254902</v>
      </c>
      <c r="S16" s="5">
        <f t="shared" si="4"/>
        <v>120</v>
      </c>
    </row>
    <row r="17" ht="18.0" customHeight="1">
      <c r="A17" s="8" t="s">
        <v>45</v>
      </c>
      <c r="B17" s="9" t="s">
        <v>46</v>
      </c>
      <c r="C17" s="9" t="s">
        <v>21</v>
      </c>
      <c r="D17" s="9" t="s">
        <v>43</v>
      </c>
      <c r="E17" s="9" t="s">
        <v>23</v>
      </c>
      <c r="F17" s="8" t="s">
        <v>24</v>
      </c>
      <c r="G17" s="9" t="s">
        <v>34</v>
      </c>
      <c r="H17" s="9" t="s">
        <v>40</v>
      </c>
      <c r="I17" s="8" t="s">
        <v>36</v>
      </c>
      <c r="J17" s="8">
        <v>2.0</v>
      </c>
      <c r="K17" s="10">
        <v>35.0</v>
      </c>
      <c r="L17" s="10">
        <v>12.0</v>
      </c>
      <c r="M17" s="10">
        <v>50.0</v>
      </c>
      <c r="N17" s="11">
        <v>15000.0</v>
      </c>
      <c r="O17" s="11">
        <v>1440.0</v>
      </c>
      <c r="P17" s="12">
        <f t="shared" si="1"/>
        <v>38</v>
      </c>
      <c r="Q17" s="13">
        <f t="shared" si="2"/>
        <v>0.76</v>
      </c>
      <c r="R17" s="13">
        <f t="shared" si="3"/>
        <v>0.24</v>
      </c>
      <c r="S17" s="11">
        <f t="shared" si="4"/>
        <v>120</v>
      </c>
    </row>
    <row r="18" ht="18.0" customHeight="1">
      <c r="A18" s="14">
        <v>45748.0</v>
      </c>
      <c r="B18" s="3" t="s">
        <v>20</v>
      </c>
      <c r="C18" s="3" t="s">
        <v>21</v>
      </c>
      <c r="D18" s="3" t="s">
        <v>22</v>
      </c>
      <c r="E18" s="3" t="s">
        <v>23</v>
      </c>
      <c r="F18" s="2" t="s">
        <v>24</v>
      </c>
      <c r="G18" s="3" t="s">
        <v>42</v>
      </c>
      <c r="H18" s="3" t="s">
        <v>31</v>
      </c>
      <c r="I18" s="2" t="s">
        <v>27</v>
      </c>
      <c r="J18" s="2">
        <v>1.0</v>
      </c>
      <c r="K18" s="4">
        <v>290.0</v>
      </c>
      <c r="L18" s="15">
        <v>300.0</v>
      </c>
      <c r="M18" s="15">
        <v>500.0</v>
      </c>
      <c r="N18" s="16">
        <v>318500.0</v>
      </c>
      <c r="O18" s="16">
        <v>8280.0</v>
      </c>
      <c r="P18" s="6">
        <f t="shared" si="1"/>
        <v>200</v>
      </c>
      <c r="Q18" s="7">
        <f t="shared" si="2"/>
        <v>0.4</v>
      </c>
      <c r="R18" s="7">
        <f t="shared" si="3"/>
        <v>0.6</v>
      </c>
      <c r="S18" s="5">
        <f t="shared" si="4"/>
        <v>27.6</v>
      </c>
    </row>
    <row r="19" ht="18.0" customHeight="1">
      <c r="A19" s="17">
        <v>45748.0</v>
      </c>
      <c r="B19" s="9" t="s">
        <v>32</v>
      </c>
      <c r="C19" s="9" t="s">
        <v>33</v>
      </c>
      <c r="D19" s="9" t="s">
        <v>22</v>
      </c>
      <c r="E19" s="9" t="s">
        <v>23</v>
      </c>
      <c r="F19" s="8" t="s">
        <v>24</v>
      </c>
      <c r="G19" s="9" t="s">
        <v>34</v>
      </c>
      <c r="H19" s="9" t="s">
        <v>35</v>
      </c>
      <c r="I19" s="8" t="s">
        <v>27</v>
      </c>
      <c r="J19" s="8">
        <v>1.0</v>
      </c>
      <c r="K19" s="10">
        <v>195.0</v>
      </c>
      <c r="L19" s="18">
        <v>210.0</v>
      </c>
      <c r="M19" s="18">
        <v>420.0</v>
      </c>
      <c r="N19" s="19">
        <v>85000.0</v>
      </c>
      <c r="O19" s="11">
        <v>3360.0</v>
      </c>
      <c r="P19" s="12">
        <f t="shared" si="1"/>
        <v>210</v>
      </c>
      <c r="Q19" s="13">
        <f t="shared" si="2"/>
        <v>0.5</v>
      </c>
      <c r="R19" s="13">
        <f t="shared" si="3"/>
        <v>0.5</v>
      </c>
      <c r="S19" s="11">
        <f t="shared" si="4"/>
        <v>16</v>
      </c>
    </row>
    <row r="20" ht="18.0" customHeight="1">
      <c r="A20" s="14">
        <v>45748.0</v>
      </c>
      <c r="B20" s="3" t="s">
        <v>32</v>
      </c>
      <c r="C20" s="3" t="s">
        <v>33</v>
      </c>
      <c r="D20" s="3" t="s">
        <v>28</v>
      </c>
      <c r="E20" s="3" t="s">
        <v>29</v>
      </c>
      <c r="F20" s="2" t="s">
        <v>30</v>
      </c>
      <c r="G20" s="3" t="s">
        <v>25</v>
      </c>
      <c r="H20" s="3" t="s">
        <v>26</v>
      </c>
      <c r="I20" s="2" t="s">
        <v>27</v>
      </c>
      <c r="J20" s="2">
        <v>1.0</v>
      </c>
      <c r="K20" s="4">
        <v>12.0</v>
      </c>
      <c r="L20" s="4">
        <v>12.0</v>
      </c>
      <c r="M20" s="15">
        <v>25.0</v>
      </c>
      <c r="N20" s="5">
        <v>3600.0</v>
      </c>
      <c r="O20" s="5">
        <v>1440.0</v>
      </c>
      <c r="P20" s="6">
        <f t="shared" si="1"/>
        <v>13</v>
      </c>
      <c r="Q20" s="7">
        <f t="shared" si="2"/>
        <v>0.52</v>
      </c>
      <c r="R20" s="7">
        <f t="shared" si="3"/>
        <v>0.48</v>
      </c>
      <c r="S20" s="5">
        <f t="shared" si="4"/>
        <v>120</v>
      </c>
    </row>
    <row r="21" ht="18.0" customHeight="1">
      <c r="A21" s="17">
        <v>45748.0</v>
      </c>
      <c r="B21" s="9" t="s">
        <v>37</v>
      </c>
      <c r="C21" s="9" t="s">
        <v>38</v>
      </c>
      <c r="D21" s="9" t="s">
        <v>22</v>
      </c>
      <c r="E21" s="9" t="s">
        <v>23</v>
      </c>
      <c r="F21" s="8" t="s">
        <v>24</v>
      </c>
      <c r="G21" s="9" t="s">
        <v>25</v>
      </c>
      <c r="H21" s="9" t="s">
        <v>44</v>
      </c>
      <c r="I21" s="8" t="s">
        <v>27</v>
      </c>
      <c r="J21" s="8">
        <v>1.0</v>
      </c>
      <c r="K21" s="10">
        <v>165.0</v>
      </c>
      <c r="L21" s="10">
        <v>24.0</v>
      </c>
      <c r="M21" s="10">
        <v>220.0</v>
      </c>
      <c r="N21" s="11">
        <v>66000.0</v>
      </c>
      <c r="O21" s="11">
        <v>2880.0</v>
      </c>
      <c r="P21" s="12">
        <f t="shared" si="1"/>
        <v>196</v>
      </c>
      <c r="Q21" s="13">
        <f t="shared" si="2"/>
        <v>0.8909090909</v>
      </c>
      <c r="R21" s="13">
        <f t="shared" si="3"/>
        <v>0.1090909091</v>
      </c>
      <c r="S21" s="11">
        <f t="shared" si="4"/>
        <v>120</v>
      </c>
    </row>
    <row r="22" ht="18.0" customHeight="1">
      <c r="A22" s="14">
        <v>45748.0</v>
      </c>
      <c r="B22" s="3" t="s">
        <v>46</v>
      </c>
      <c r="C22" s="3" t="s">
        <v>21</v>
      </c>
      <c r="D22" s="3" t="s">
        <v>22</v>
      </c>
      <c r="E22" s="3" t="s">
        <v>23</v>
      </c>
      <c r="F22" s="2" t="s">
        <v>24</v>
      </c>
      <c r="G22" s="3" t="s">
        <v>25</v>
      </c>
      <c r="H22" s="3" t="s">
        <v>26</v>
      </c>
      <c r="I22" s="2" t="s">
        <v>27</v>
      </c>
      <c r="J22" s="2">
        <v>1.0</v>
      </c>
      <c r="K22" s="4">
        <v>400.0</v>
      </c>
      <c r="L22" s="15">
        <v>400.0</v>
      </c>
      <c r="M22" s="15">
        <v>710.0</v>
      </c>
      <c r="N22" s="5">
        <v>153000.0</v>
      </c>
      <c r="O22" s="5">
        <v>8400.0</v>
      </c>
      <c r="P22" s="6">
        <f t="shared" si="1"/>
        <v>310</v>
      </c>
      <c r="Q22" s="7">
        <f t="shared" si="2"/>
        <v>0.4366197183</v>
      </c>
      <c r="R22" s="7">
        <f t="shared" si="3"/>
        <v>0.5633802817</v>
      </c>
      <c r="S22" s="5">
        <f t="shared" si="4"/>
        <v>21</v>
      </c>
    </row>
    <row r="23" ht="18.0" customHeight="1">
      <c r="A23" s="17">
        <v>45748.0</v>
      </c>
      <c r="B23" s="9" t="s">
        <v>46</v>
      </c>
      <c r="C23" s="9" t="s">
        <v>21</v>
      </c>
      <c r="D23" s="9" t="s">
        <v>43</v>
      </c>
      <c r="E23" s="9" t="s">
        <v>23</v>
      </c>
      <c r="F23" s="8" t="s">
        <v>24</v>
      </c>
      <c r="G23" s="9" t="s">
        <v>34</v>
      </c>
      <c r="H23" s="9" t="s">
        <v>40</v>
      </c>
      <c r="I23" s="8" t="s">
        <v>36</v>
      </c>
      <c r="J23" s="8">
        <v>2.0</v>
      </c>
      <c r="K23" s="10">
        <v>35.0</v>
      </c>
      <c r="L23" s="10">
        <v>12.0</v>
      </c>
      <c r="M23" s="10">
        <v>50.0</v>
      </c>
      <c r="N23" s="11">
        <v>15000.0</v>
      </c>
      <c r="O23" s="11">
        <v>1440.0</v>
      </c>
      <c r="P23" s="12">
        <f t="shared" si="1"/>
        <v>38</v>
      </c>
      <c r="Q23" s="13">
        <f t="shared" si="2"/>
        <v>0.76</v>
      </c>
      <c r="R23" s="13">
        <f t="shared" si="3"/>
        <v>0.24</v>
      </c>
      <c r="S23" s="11">
        <f t="shared" si="4"/>
        <v>120</v>
      </c>
    </row>
    <row r="24" ht="18.0" customHeight="1">
      <c r="A24" s="14">
        <v>45778.0</v>
      </c>
      <c r="B24" s="3" t="s">
        <v>20</v>
      </c>
      <c r="C24" s="3" t="s">
        <v>21</v>
      </c>
      <c r="D24" s="3" t="s">
        <v>22</v>
      </c>
      <c r="E24" s="3" t="s">
        <v>23</v>
      </c>
      <c r="F24" s="2" t="s">
        <v>24</v>
      </c>
      <c r="G24" s="3" t="s">
        <v>42</v>
      </c>
      <c r="H24" s="3" t="s">
        <v>31</v>
      </c>
      <c r="I24" s="2" t="s">
        <v>27</v>
      </c>
      <c r="J24" s="2">
        <v>1.0</v>
      </c>
      <c r="K24" s="4">
        <v>290.0</v>
      </c>
      <c r="L24" s="15">
        <v>150.0</v>
      </c>
      <c r="M24" s="15">
        <v>445.0</v>
      </c>
      <c r="N24" s="16">
        <v>318500.0</v>
      </c>
      <c r="O24" s="16">
        <v>8280.0</v>
      </c>
      <c r="P24" s="6">
        <f t="shared" si="1"/>
        <v>295</v>
      </c>
      <c r="Q24" s="7">
        <f t="shared" si="2"/>
        <v>0.6629213483</v>
      </c>
      <c r="R24" s="7">
        <f t="shared" si="3"/>
        <v>0.3370786517</v>
      </c>
      <c r="S24" s="5">
        <f t="shared" si="4"/>
        <v>55.2</v>
      </c>
    </row>
    <row r="25" ht="18.0" customHeight="1">
      <c r="A25" s="14">
        <v>45778.0</v>
      </c>
      <c r="B25" s="9" t="s">
        <v>32</v>
      </c>
      <c r="C25" s="9" t="s">
        <v>33</v>
      </c>
      <c r="D25" s="9" t="s">
        <v>22</v>
      </c>
      <c r="E25" s="9" t="s">
        <v>23</v>
      </c>
      <c r="F25" s="8" t="s">
        <v>24</v>
      </c>
      <c r="G25" s="9" t="s">
        <v>34</v>
      </c>
      <c r="H25" s="9" t="s">
        <v>35</v>
      </c>
      <c r="I25" s="8" t="s">
        <v>27</v>
      </c>
      <c r="J25" s="8">
        <v>1.0</v>
      </c>
      <c r="K25" s="10">
        <v>195.0</v>
      </c>
      <c r="L25" s="18">
        <v>210.0</v>
      </c>
      <c r="M25" s="18">
        <v>420.0</v>
      </c>
      <c r="N25" s="19">
        <v>85000.0</v>
      </c>
      <c r="O25" s="11">
        <v>3360.0</v>
      </c>
      <c r="P25" s="12">
        <f t="shared" si="1"/>
        <v>210</v>
      </c>
      <c r="Q25" s="13">
        <f t="shared" si="2"/>
        <v>0.5</v>
      </c>
      <c r="R25" s="13">
        <f t="shared" si="3"/>
        <v>0.5</v>
      </c>
      <c r="S25" s="11">
        <f t="shared" si="4"/>
        <v>16</v>
      </c>
    </row>
    <row r="26" ht="18.0" customHeight="1">
      <c r="A26" s="14">
        <v>45778.0</v>
      </c>
      <c r="B26" s="3" t="s">
        <v>32</v>
      </c>
      <c r="C26" s="3" t="s">
        <v>33</v>
      </c>
      <c r="D26" s="3" t="s">
        <v>28</v>
      </c>
      <c r="E26" s="3" t="s">
        <v>29</v>
      </c>
      <c r="F26" s="2" t="s">
        <v>30</v>
      </c>
      <c r="G26" s="3" t="s">
        <v>25</v>
      </c>
      <c r="H26" s="3" t="s">
        <v>26</v>
      </c>
      <c r="I26" s="2" t="s">
        <v>27</v>
      </c>
      <c r="J26" s="2">
        <v>1.0</v>
      </c>
      <c r="K26" s="4">
        <v>12.0</v>
      </c>
      <c r="L26" s="15">
        <v>12.0</v>
      </c>
      <c r="M26" s="15">
        <v>20.0</v>
      </c>
      <c r="N26" s="5">
        <v>3600.0</v>
      </c>
      <c r="O26" s="5">
        <v>1440.0</v>
      </c>
      <c r="P26" s="6">
        <f t="shared" si="1"/>
        <v>8</v>
      </c>
      <c r="Q26" s="7">
        <f t="shared" si="2"/>
        <v>0.4</v>
      </c>
      <c r="R26" s="7">
        <f t="shared" si="3"/>
        <v>0.6</v>
      </c>
      <c r="S26" s="5">
        <f t="shared" si="4"/>
        <v>120</v>
      </c>
    </row>
    <row r="27" ht="18.0" customHeight="1">
      <c r="A27" s="14">
        <v>45778.0</v>
      </c>
      <c r="B27" s="9" t="s">
        <v>37</v>
      </c>
      <c r="C27" s="9" t="s">
        <v>38</v>
      </c>
      <c r="D27" s="9" t="s">
        <v>22</v>
      </c>
      <c r="E27" s="9" t="s">
        <v>23</v>
      </c>
      <c r="F27" s="8" t="s">
        <v>24</v>
      </c>
      <c r="G27" s="9" t="s">
        <v>25</v>
      </c>
      <c r="H27" s="9" t="s">
        <v>44</v>
      </c>
      <c r="I27" s="8" t="s">
        <v>27</v>
      </c>
      <c r="J27" s="8">
        <v>1.0</v>
      </c>
      <c r="K27" s="10">
        <v>165.0</v>
      </c>
      <c r="L27" s="10">
        <v>24.0</v>
      </c>
      <c r="M27" s="18">
        <v>100.0</v>
      </c>
      <c r="N27" s="11">
        <v>66000.0</v>
      </c>
      <c r="O27" s="11">
        <v>2880.0</v>
      </c>
      <c r="P27" s="12">
        <f t="shared" si="1"/>
        <v>76</v>
      </c>
      <c r="Q27" s="13">
        <f t="shared" si="2"/>
        <v>0.76</v>
      </c>
      <c r="R27" s="13">
        <f t="shared" si="3"/>
        <v>0.24</v>
      </c>
      <c r="S27" s="11">
        <f t="shared" si="4"/>
        <v>120</v>
      </c>
    </row>
    <row r="28" ht="18.0" customHeight="1">
      <c r="A28" s="14">
        <v>45778.0</v>
      </c>
      <c r="B28" s="3" t="s">
        <v>46</v>
      </c>
      <c r="C28" s="3" t="s">
        <v>21</v>
      </c>
      <c r="D28" s="3" t="s">
        <v>22</v>
      </c>
      <c r="E28" s="3" t="s">
        <v>23</v>
      </c>
      <c r="F28" s="2" t="s">
        <v>24</v>
      </c>
      <c r="G28" s="3" t="s">
        <v>25</v>
      </c>
      <c r="H28" s="3" t="s">
        <v>26</v>
      </c>
      <c r="I28" s="2" t="s">
        <v>27</v>
      </c>
      <c r="J28" s="2">
        <v>1.0</v>
      </c>
      <c r="K28" s="4">
        <v>400.0</v>
      </c>
      <c r="L28" s="15">
        <v>300.0</v>
      </c>
      <c r="M28" s="15">
        <v>600.0</v>
      </c>
      <c r="N28" s="5">
        <v>153000.0</v>
      </c>
      <c r="O28" s="5">
        <v>8400.0</v>
      </c>
      <c r="P28" s="6">
        <f t="shared" si="1"/>
        <v>300</v>
      </c>
      <c r="Q28" s="7">
        <f t="shared" si="2"/>
        <v>0.5</v>
      </c>
      <c r="R28" s="7">
        <f t="shared" si="3"/>
        <v>0.5</v>
      </c>
      <c r="S28" s="5">
        <f t="shared" si="4"/>
        <v>28</v>
      </c>
    </row>
    <row r="29" ht="18.0" customHeight="1">
      <c r="A29" s="14">
        <v>45778.0</v>
      </c>
      <c r="B29" s="9" t="s">
        <v>46</v>
      </c>
      <c r="C29" s="9" t="s">
        <v>21</v>
      </c>
      <c r="D29" s="9" t="s">
        <v>43</v>
      </c>
      <c r="E29" s="9" t="s">
        <v>23</v>
      </c>
      <c r="F29" s="8" t="s">
        <v>24</v>
      </c>
      <c r="G29" s="9" t="s">
        <v>34</v>
      </c>
      <c r="H29" s="9" t="s">
        <v>40</v>
      </c>
      <c r="I29" s="8" t="s">
        <v>36</v>
      </c>
      <c r="J29" s="8">
        <v>2.0</v>
      </c>
      <c r="K29" s="10">
        <v>35.0</v>
      </c>
      <c r="L29" s="10">
        <v>12.0</v>
      </c>
      <c r="M29" s="10">
        <v>50.0</v>
      </c>
      <c r="N29" s="11">
        <v>15000.0</v>
      </c>
      <c r="O29" s="11">
        <v>1440.0</v>
      </c>
      <c r="P29" s="12">
        <f t="shared" si="1"/>
        <v>38</v>
      </c>
      <c r="Q29" s="13">
        <f t="shared" si="2"/>
        <v>0.76</v>
      </c>
      <c r="R29" s="13">
        <f t="shared" si="3"/>
        <v>0.24</v>
      </c>
      <c r="S29" s="11">
        <f t="shared" si="4"/>
        <v>120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